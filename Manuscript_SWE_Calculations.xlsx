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alaska-my.sharepoint.com/personal/calumbrazo_alaska_edu/Documents/Documents/Washington/EasternCascades/Manuscript/Figures/"/>
    </mc:Choice>
  </mc:AlternateContent>
  <xr:revisionPtr revIDLastSave="215" documentId="8_{5692428F-50C3-4DD2-B08B-3FE74D9178AE}" xr6:coauthVersionLast="47" xr6:coauthVersionMax="47" xr10:uidLastSave="{4B01CF43-ED68-421C-B050-922698755016}"/>
  <bookViews>
    <workbookView xWindow="-120" yWindow="-120" windowWidth="51840" windowHeight="21120" firstSheet="3" activeTab="3" xr2:uid="{84E01CF0-BD08-4DA1-B364-6CA0E962C2EF}"/>
  </bookViews>
  <sheets>
    <sheet name="Susan's OG Sheet" sheetId="1" r:id="rId1"/>
    <sheet name="Cassie Edit -&gt; for DeltaDCE" sheetId="3" r:id="rId2"/>
    <sheet name="Cassie Edit -&gt; for BAF Polygons" sheetId="4" r:id="rId3"/>
    <sheet name="Cassie Edit -&gt; for DDCE ROUN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C26" i="5"/>
  <c r="F25" i="5"/>
  <c r="D25" i="5"/>
  <c r="C25" i="5"/>
  <c r="F24" i="5"/>
  <c r="F26" i="5" s="1"/>
  <c r="D24" i="5"/>
  <c r="D26" i="5" s="1"/>
  <c r="C24" i="5"/>
  <c r="G20" i="5"/>
  <c r="H20" i="5" s="1"/>
  <c r="E20" i="5"/>
  <c r="J19" i="5"/>
  <c r="M19" i="5" s="1"/>
  <c r="G19" i="5"/>
  <c r="H19" i="5" s="1"/>
  <c r="E19" i="5"/>
  <c r="E25" i="5" s="1"/>
  <c r="G18" i="5"/>
  <c r="H18" i="5" s="1"/>
  <c r="E18" i="5"/>
  <c r="J17" i="5"/>
  <c r="K17" i="5" s="1"/>
  <c r="L17" i="5" s="1"/>
  <c r="H17" i="5"/>
  <c r="H24" i="5" s="1"/>
  <c r="G17" i="5"/>
  <c r="G26" i="5" s="1"/>
  <c r="E17" i="5"/>
  <c r="E26" i="5" s="1"/>
  <c r="D13" i="5"/>
  <c r="C13" i="5"/>
  <c r="F12" i="5"/>
  <c r="D12" i="5"/>
  <c r="C12" i="5"/>
  <c r="F11" i="5"/>
  <c r="F13" i="5" s="1"/>
  <c r="D11" i="5"/>
  <c r="C11" i="5"/>
  <c r="G7" i="5"/>
  <c r="H7" i="5" s="1"/>
  <c r="E7" i="5"/>
  <c r="M6" i="5"/>
  <c r="J6" i="5"/>
  <c r="K6" i="5" s="1"/>
  <c r="L6" i="5" s="1"/>
  <c r="G6" i="5"/>
  <c r="G12" i="5" s="1"/>
  <c r="E6" i="5"/>
  <c r="E12" i="5" s="1"/>
  <c r="H5" i="5"/>
  <c r="G5" i="5"/>
  <c r="E5" i="5"/>
  <c r="J4" i="5"/>
  <c r="M4" i="5" s="1"/>
  <c r="G4" i="5"/>
  <c r="H11" i="5" s="1"/>
  <c r="E4" i="5"/>
  <c r="E13" i="5" s="1"/>
  <c r="M6" i="3"/>
  <c r="G4" i="3"/>
  <c r="H4" i="3"/>
  <c r="C26" i="4"/>
  <c r="F25" i="4"/>
  <c r="D25" i="4"/>
  <c r="C25" i="4"/>
  <c r="F24" i="4"/>
  <c r="D24" i="4"/>
  <c r="C24" i="4"/>
  <c r="G20" i="4"/>
  <c r="H20" i="4" s="1"/>
  <c r="E20" i="4"/>
  <c r="J19" i="4"/>
  <c r="M19" i="4" s="1"/>
  <c r="G19" i="4"/>
  <c r="H19" i="4" s="1"/>
  <c r="E19" i="4"/>
  <c r="G18" i="4"/>
  <c r="H18" i="4" s="1"/>
  <c r="E18" i="4"/>
  <c r="J17" i="4"/>
  <c r="K17" i="4" s="1"/>
  <c r="L17" i="4" s="1"/>
  <c r="G17" i="4"/>
  <c r="E17" i="4"/>
  <c r="C13" i="4"/>
  <c r="F12" i="4"/>
  <c r="D12" i="4"/>
  <c r="C12" i="4"/>
  <c r="F11" i="4"/>
  <c r="D11" i="4"/>
  <c r="C11" i="4"/>
  <c r="G7" i="4"/>
  <c r="H7" i="4" s="1"/>
  <c r="E7" i="4"/>
  <c r="J6" i="4"/>
  <c r="M6" i="4" s="1"/>
  <c r="G6" i="4"/>
  <c r="H6" i="4" s="1"/>
  <c r="E6" i="4"/>
  <c r="G5" i="4"/>
  <c r="H5" i="4" s="1"/>
  <c r="E5" i="4"/>
  <c r="J4" i="4"/>
  <c r="K4" i="4" s="1"/>
  <c r="L4" i="4" s="1"/>
  <c r="G4" i="4"/>
  <c r="H4" i="4" s="1"/>
  <c r="E4" i="4"/>
  <c r="C26" i="3"/>
  <c r="F25" i="3"/>
  <c r="E25" i="3"/>
  <c r="D25" i="3"/>
  <c r="C25" i="3"/>
  <c r="F24" i="3"/>
  <c r="D24" i="3"/>
  <c r="D26" i="3" s="1"/>
  <c r="C24" i="3"/>
  <c r="G20" i="3"/>
  <c r="H20" i="3" s="1"/>
  <c r="E20" i="3"/>
  <c r="J19" i="3"/>
  <c r="M19" i="3" s="1"/>
  <c r="G19" i="3"/>
  <c r="E19" i="3"/>
  <c r="G18" i="3"/>
  <c r="E18" i="3"/>
  <c r="J17" i="3"/>
  <c r="M17" i="3" s="1"/>
  <c r="G17" i="3"/>
  <c r="H17" i="3" s="1"/>
  <c r="E17" i="3"/>
  <c r="E26" i="3" s="1"/>
  <c r="F11" i="3"/>
  <c r="F12" i="3"/>
  <c r="D11" i="3"/>
  <c r="C11" i="3"/>
  <c r="D12" i="3"/>
  <c r="J4" i="3"/>
  <c r="K4" i="3" s="1"/>
  <c r="L4" i="3" s="1"/>
  <c r="C13" i="3"/>
  <c r="C12" i="3"/>
  <c r="G7" i="3"/>
  <c r="H7" i="3" s="1"/>
  <c r="E7" i="3"/>
  <c r="J6" i="3"/>
  <c r="G6" i="3"/>
  <c r="H6" i="3" s="1"/>
  <c r="E6" i="3"/>
  <c r="E12" i="3" s="1"/>
  <c r="G5" i="3"/>
  <c r="H5" i="3" s="1"/>
  <c r="E5" i="3"/>
  <c r="E4" i="3"/>
  <c r="E13" i="3" s="1"/>
  <c r="G15" i="1"/>
  <c r="G14" i="1"/>
  <c r="G13" i="1"/>
  <c r="I2" i="1"/>
  <c r="L4" i="1"/>
  <c r="O4" i="1" s="1"/>
  <c r="L2" i="1"/>
  <c r="O2" i="1" s="1"/>
  <c r="H5" i="1"/>
  <c r="H4" i="1"/>
  <c r="H3" i="1"/>
  <c r="H2" i="1"/>
  <c r="I5" i="1"/>
  <c r="I4" i="1"/>
  <c r="I3" i="1"/>
  <c r="C15" i="1"/>
  <c r="C14" i="1"/>
  <c r="C13" i="1"/>
  <c r="E3" i="1"/>
  <c r="E4" i="1"/>
  <c r="E5" i="1"/>
  <c r="E2" i="1"/>
  <c r="C10" i="1"/>
  <c r="H13" i="5" l="1"/>
  <c r="H25" i="5"/>
  <c r="H26" i="5"/>
  <c r="K4" i="5"/>
  <c r="L4" i="5" s="1"/>
  <c r="H6" i="5"/>
  <c r="H12" i="5" s="1"/>
  <c r="G13" i="5"/>
  <c r="M17" i="5"/>
  <c r="K19" i="5"/>
  <c r="L19" i="5" s="1"/>
  <c r="E24" i="5"/>
  <c r="G25" i="5"/>
  <c r="E11" i="5"/>
  <c r="G24" i="5"/>
  <c r="G11" i="5"/>
  <c r="F26" i="4"/>
  <c r="H25" i="4"/>
  <c r="D26" i="4"/>
  <c r="G26" i="4"/>
  <c r="E25" i="4"/>
  <c r="E26" i="4"/>
  <c r="F13" i="4"/>
  <c r="M4" i="4"/>
  <c r="H12" i="4"/>
  <c r="D13" i="4"/>
  <c r="G12" i="4"/>
  <c r="E12" i="4"/>
  <c r="E13" i="4"/>
  <c r="H11" i="4"/>
  <c r="H13" i="4" s="1"/>
  <c r="G11" i="4"/>
  <c r="H17" i="4"/>
  <c r="H24" i="4" s="1"/>
  <c r="G13" i="4"/>
  <c r="M17" i="4"/>
  <c r="K19" i="4"/>
  <c r="L19" i="4" s="1"/>
  <c r="E24" i="4"/>
  <c r="G25" i="4"/>
  <c r="K6" i="4"/>
  <c r="L6" i="4" s="1"/>
  <c r="E11" i="4"/>
  <c r="G24" i="4"/>
  <c r="E24" i="3"/>
  <c r="F13" i="3"/>
  <c r="H11" i="3"/>
  <c r="E11" i="3"/>
  <c r="G25" i="3"/>
  <c r="H19" i="3"/>
  <c r="H25" i="3" s="1"/>
  <c r="F26" i="3"/>
  <c r="K17" i="3"/>
  <c r="L17" i="3" s="1"/>
  <c r="G24" i="3"/>
  <c r="G26" i="3"/>
  <c r="K19" i="3"/>
  <c r="L19" i="3" s="1"/>
  <c r="H18" i="3"/>
  <c r="H24" i="3" s="1"/>
  <c r="H12" i="3"/>
  <c r="H13" i="3"/>
  <c r="G12" i="3"/>
  <c r="D13" i="3"/>
  <c r="G11" i="3"/>
  <c r="G13" i="3"/>
  <c r="M4" i="3"/>
  <c r="K6" i="3"/>
  <c r="L6" i="3" s="1"/>
  <c r="M4" i="1"/>
  <c r="N4" i="1" s="1"/>
  <c r="M2" i="1"/>
  <c r="N2" i="1" s="1"/>
  <c r="H26" i="4" l="1"/>
  <c r="H26" i="3"/>
</calcChain>
</file>

<file path=xl/sharedStrings.xml><?xml version="1.0" encoding="utf-8"?>
<sst xmlns="http://schemas.openxmlformats.org/spreadsheetml/2006/main" count="224" uniqueCount="42">
  <si>
    <t>Aspect</t>
  </si>
  <si>
    <t>Treatment</t>
  </si>
  <si>
    <t>South</t>
  </si>
  <si>
    <t>Yes</t>
  </si>
  <si>
    <t>Area (m2)</t>
  </si>
  <si>
    <t>No</t>
  </si>
  <si>
    <t>North</t>
  </si>
  <si>
    <t>mm SWE/m2, from text</t>
  </si>
  <si>
    <t>Area (ac)</t>
  </si>
  <si>
    <t>Compute m2, to check</t>
  </si>
  <si>
    <t>Total water volume (ac-ft), from text</t>
  </si>
  <si>
    <t>Compute Volume (m3)</t>
  </si>
  <si>
    <t>Compute Volume (ac-ft)</t>
  </si>
  <si>
    <t>North - check</t>
  </si>
  <si>
    <t>North - text</t>
  </si>
  <si>
    <t>Entire - text</t>
  </si>
  <si>
    <t>South - text</t>
  </si>
  <si>
    <t xml:space="preserve">South - check </t>
  </si>
  <si>
    <t>Entire - check</t>
  </si>
  <si>
    <t>DIFFERENCE (TMT - CON), mm SWE/m2</t>
  </si>
  <si>
    <t>Difference in totat water stored from treating the whole domain (ac-ft)</t>
  </si>
  <si>
    <t>Difference in totat water stored from treating the whole domain (m3)</t>
  </si>
  <si>
    <t>Potential Difference in water stored per 100 acres of forest treatments (ac-ft)</t>
  </si>
  <si>
    <t>Add column for +/- based on density uncertainty</t>
  </si>
  <si>
    <t>&lt;- these don't match values reported in text</t>
  </si>
  <si>
    <t>Example using existing values, which need to be checked -&gt;</t>
  </si>
  <si>
    <t>Summed by side and site</t>
  </si>
  <si>
    <t>&lt;- need to check all values - don't match</t>
  </si>
  <si>
    <t>check this</t>
  </si>
  <si>
    <t>treatment</t>
  </si>
  <si>
    <t>control</t>
  </si>
  <si>
    <t>redone</t>
  </si>
  <si>
    <t xml:space="preserve">for 31% snow density </t>
  </si>
  <si>
    <t>mm SWE/m2, from Cassie Python</t>
  </si>
  <si>
    <t>Area (m2) from Cassie python</t>
  </si>
  <si>
    <t>redone, checked</t>
  </si>
  <si>
    <t>Entire</t>
  </si>
  <si>
    <t xml:space="preserve">Calculations using values to the left, </t>
  </si>
  <si>
    <t>Area (ac) from Cassie python</t>
  </si>
  <si>
    <t xml:space="preserve">for 29% snow density on the north, and 34% snow density on the south </t>
  </si>
  <si>
    <t xml:space="preserve">SWE / m2 is calculated in python, with deltaDCE defining the "treatment" areas </t>
  </si>
  <si>
    <t xml:space="preserve">SWE / m2 is calculated in python, with BAF Polygons (that did have thinning only) defining the "treatment" areas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</si>
</sst>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2" fontId="0" fillId="0" borderId="0" xfId="0" applyNumberFormat="1"/>
    <xf numFmtId="0" fontId="0" fillId="0" borderId="0" xfId="0" applyAlignment="1">
      <alignment horizontal="right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2" fontId="0" fillId="2" borderId="2" xfId="0" applyNumberFormat="1" applyFill="1" applyBorder="1"/>
    <xf numFmtId="0" fontId="0" fillId="2" borderId="3" xfId="0" applyFill="1" applyBorder="1"/>
    <xf numFmtId="0" fontId="0" fillId="2" borderId="1" xfId="0" applyFill="1" applyBorder="1" applyAlignment="1">
      <alignment wrapText="1"/>
    </xf>
    <xf numFmtId="0" fontId="2" fillId="0" borderId="0" xfId="0" applyFont="1"/>
    <xf numFmtId="3" fontId="0" fillId="0" borderId="5" xfId="0" applyNumberFormat="1" applyBorder="1"/>
    <xf numFmtId="3" fontId="0" fillId="0" borderId="6" xfId="0" applyNumberFormat="1" applyBorder="1"/>
    <xf numFmtId="3" fontId="0" fillId="0" borderId="8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164" fontId="0" fillId="0" borderId="0" xfId="0" applyNumberFormat="1"/>
    <xf numFmtId="164" fontId="0" fillId="2" borderId="2" xfId="0" applyNumberFormat="1" applyFill="1" applyBorder="1"/>
    <xf numFmtId="1" fontId="0" fillId="0" borderId="0" xfId="0" applyNumberFormat="1"/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1D83-FC65-4AEE-B319-3052489F7C8D}">
  <dimension ref="A1:Q15"/>
  <sheetViews>
    <sheetView workbookViewId="0">
      <selection activeCell="L6" sqref="L6"/>
    </sheetView>
  </sheetViews>
  <sheetFormatPr defaultRowHeight="15" x14ac:dyDescent="0.25"/>
  <cols>
    <col min="1" max="1" width="11.85546875" customWidth="1"/>
    <col min="2" max="2" width="14.28515625" customWidth="1"/>
    <col min="5" max="5" width="9.140625" bestFit="1" customWidth="1"/>
    <col min="10" max="11" width="21.140625" style="3" customWidth="1"/>
    <col min="12" max="12" width="13.7109375" customWidth="1"/>
    <col min="13" max="13" width="16.7109375" customWidth="1"/>
    <col min="14" max="14" width="16.5703125" customWidth="1"/>
    <col min="15" max="15" width="15.7109375" customWidth="1"/>
    <col min="17" max="17" width="12.85546875" customWidth="1"/>
  </cols>
  <sheetData>
    <row r="1" spans="1:17" s="3" customFormat="1" ht="105" x14ac:dyDescent="0.25">
      <c r="A1" s="4" t="s">
        <v>0</v>
      </c>
      <c r="B1" s="4" t="s">
        <v>1</v>
      </c>
      <c r="C1" s="4" t="s">
        <v>8</v>
      </c>
      <c r="D1" s="4" t="s">
        <v>4</v>
      </c>
      <c r="E1" s="4" t="s">
        <v>9</v>
      </c>
      <c r="F1" s="4" t="s">
        <v>7</v>
      </c>
      <c r="G1" s="5" t="s">
        <v>10</v>
      </c>
      <c r="H1" s="4" t="s">
        <v>11</v>
      </c>
      <c r="I1" s="5" t="s">
        <v>12</v>
      </c>
      <c r="L1" s="5" t="s">
        <v>19</v>
      </c>
      <c r="M1" s="4" t="s">
        <v>21</v>
      </c>
      <c r="N1" s="4" t="s">
        <v>20</v>
      </c>
      <c r="O1" s="21" t="s">
        <v>22</v>
      </c>
      <c r="Q1" s="24" t="s">
        <v>23</v>
      </c>
    </row>
    <row r="2" spans="1:17" ht="45" x14ac:dyDescent="0.25">
      <c r="A2" t="s">
        <v>6</v>
      </c>
      <c r="B2" t="s">
        <v>3</v>
      </c>
      <c r="C2">
        <v>40.6</v>
      </c>
      <c r="D2">
        <v>164180</v>
      </c>
      <c r="E2" s="1">
        <f>C2*4046.86</f>
        <v>164302.516</v>
      </c>
      <c r="F2">
        <v>157</v>
      </c>
      <c r="G2" s="6">
        <v>28</v>
      </c>
      <c r="H2">
        <f>(F2/1000)*D2</f>
        <v>25776.26</v>
      </c>
      <c r="I2" s="8">
        <f>H2/1233.48</f>
        <v>20.897185199597885</v>
      </c>
      <c r="J2" s="20" t="s">
        <v>24</v>
      </c>
      <c r="K2" s="11" t="s">
        <v>25</v>
      </c>
      <c r="L2" s="6">
        <f>F2-F3</f>
        <v>22</v>
      </c>
      <c r="M2">
        <f>(L2/1000)*D2</f>
        <v>3611.9599999999996</v>
      </c>
      <c r="N2" s="10">
        <f>M2/1233.48</f>
        <v>2.9282679897525696</v>
      </c>
      <c r="O2" s="22">
        <f>(L2/1000)*(100*4046.86)/1233.48</f>
        <v>7.2178649025521278</v>
      </c>
      <c r="Q2" s="6"/>
    </row>
    <row r="3" spans="1:17" x14ac:dyDescent="0.25">
      <c r="A3" t="s">
        <v>6</v>
      </c>
      <c r="B3" t="s">
        <v>5</v>
      </c>
      <c r="C3">
        <v>16.100000000000001</v>
      </c>
      <c r="D3">
        <v>65330</v>
      </c>
      <c r="E3" s="1">
        <f t="shared" ref="E3:E5" si="0">C3*4046.86</f>
        <v>65154.446000000011</v>
      </c>
      <c r="F3">
        <v>135</v>
      </c>
      <c r="G3" s="6">
        <v>24.2</v>
      </c>
      <c r="H3">
        <f>(F3/1000)*D3</f>
        <v>8819.5500000000011</v>
      </c>
      <c r="I3" s="8">
        <f>H3/1233.48</f>
        <v>7.1501362000194577</v>
      </c>
      <c r="L3" s="6"/>
      <c r="N3" s="10"/>
      <c r="O3" s="22"/>
      <c r="Q3" s="6"/>
    </row>
    <row r="4" spans="1:17" x14ac:dyDescent="0.25">
      <c r="A4" t="s">
        <v>2</v>
      </c>
      <c r="B4" t="s">
        <v>3</v>
      </c>
      <c r="C4">
        <v>66.5</v>
      </c>
      <c r="D4" s="1">
        <v>269050</v>
      </c>
      <c r="E4" s="1">
        <f t="shared" si="0"/>
        <v>269116.19</v>
      </c>
      <c r="F4">
        <v>99</v>
      </c>
      <c r="G4" s="6">
        <v>30.2</v>
      </c>
      <c r="H4">
        <f>(F4/1000)*D4</f>
        <v>26635.95</v>
      </c>
      <c r="I4" s="8">
        <f>H4/1233.48</f>
        <v>21.594148263449753</v>
      </c>
      <c r="L4" s="6">
        <f>F4-F5</f>
        <v>-11</v>
      </c>
      <c r="M4">
        <f>(L4/1000)*D4</f>
        <v>-2959.5499999999997</v>
      </c>
      <c r="N4" s="10">
        <f>M4/1233.48</f>
        <v>-2.3993498070499721</v>
      </c>
      <c r="O4" s="22">
        <f>(L4/1000)*(100*4046.86)/1233.48</f>
        <v>-3.6089324512760639</v>
      </c>
      <c r="Q4" s="6"/>
    </row>
    <row r="5" spans="1:17" x14ac:dyDescent="0.25">
      <c r="A5" t="s">
        <v>2</v>
      </c>
      <c r="B5" t="s">
        <v>5</v>
      </c>
      <c r="C5">
        <v>23.8</v>
      </c>
      <c r="D5">
        <v>96403</v>
      </c>
      <c r="E5" s="1">
        <f t="shared" si="0"/>
        <v>96315.268000000011</v>
      </c>
      <c r="F5">
        <v>110</v>
      </c>
      <c r="G5" s="7">
        <v>29.8</v>
      </c>
      <c r="H5">
        <f>(F5/1000)*D5</f>
        <v>10604.33</v>
      </c>
      <c r="I5" s="9">
        <f>H5/1233.48</f>
        <v>8.5970830495832917</v>
      </c>
      <c r="L5" s="7"/>
      <c r="O5" s="23"/>
      <c r="Q5" s="7"/>
    </row>
    <row r="6" spans="1:17" x14ac:dyDescent="0.25">
      <c r="C6" s="25" t="s">
        <v>28</v>
      </c>
      <c r="F6" s="25" t="s">
        <v>28</v>
      </c>
      <c r="L6" s="25" t="s">
        <v>28</v>
      </c>
    </row>
    <row r="9" spans="1:17" x14ac:dyDescent="0.25">
      <c r="A9" s="2" t="s">
        <v>26</v>
      </c>
    </row>
    <row r="10" spans="1:17" x14ac:dyDescent="0.25">
      <c r="A10" s="12" t="s">
        <v>14</v>
      </c>
      <c r="B10" s="13"/>
      <c r="C10" s="13">
        <f>SUM(C2:C3)</f>
        <v>56.7</v>
      </c>
      <c r="D10" s="13"/>
      <c r="E10" s="13"/>
      <c r="F10" s="13"/>
      <c r="G10" s="14">
        <v>40.299999999999997</v>
      </c>
      <c r="H10" t="s">
        <v>27</v>
      </c>
    </row>
    <row r="11" spans="1:17" x14ac:dyDescent="0.25">
      <c r="A11" s="15" t="s">
        <v>16</v>
      </c>
      <c r="C11">
        <v>90.3</v>
      </c>
      <c r="G11" s="16">
        <v>53.6</v>
      </c>
    </row>
    <row r="12" spans="1:17" x14ac:dyDescent="0.25">
      <c r="A12" s="15" t="s">
        <v>15</v>
      </c>
      <c r="C12">
        <v>147</v>
      </c>
      <c r="G12" s="16">
        <v>93.9</v>
      </c>
    </row>
    <row r="13" spans="1:17" x14ac:dyDescent="0.25">
      <c r="A13" s="15" t="s">
        <v>13</v>
      </c>
      <c r="C13">
        <f>SUM(C2:C3)</f>
        <v>56.7</v>
      </c>
      <c r="G13" s="16">
        <f>SUM(G2:G3)</f>
        <v>52.2</v>
      </c>
    </row>
    <row r="14" spans="1:17" x14ac:dyDescent="0.25">
      <c r="A14" s="15" t="s">
        <v>17</v>
      </c>
      <c r="C14">
        <f>SUM(C4:C5)</f>
        <v>90.3</v>
      </c>
      <c r="G14" s="16">
        <f>SUM(G4:G5)</f>
        <v>60</v>
      </c>
    </row>
    <row r="15" spans="1:17" x14ac:dyDescent="0.25">
      <c r="A15" s="17" t="s">
        <v>18</v>
      </c>
      <c r="B15" s="18"/>
      <c r="C15" s="18">
        <f>SUM(C2:C5)</f>
        <v>147</v>
      </c>
      <c r="D15" s="18"/>
      <c r="E15" s="18"/>
      <c r="F15" s="18"/>
      <c r="G15" s="19">
        <f>SUM(G2:G5)</f>
        <v>112.2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278B-219E-408F-ABBD-8033FC33E7F8}">
  <dimension ref="A1:O26"/>
  <sheetViews>
    <sheetView topLeftCell="A3" zoomScale="130" zoomScaleNormal="130" workbookViewId="0">
      <selection activeCell="C4" sqref="C4:C7"/>
    </sheetView>
  </sheetViews>
  <sheetFormatPr defaultRowHeight="15" x14ac:dyDescent="0.25"/>
  <cols>
    <col min="1" max="1" width="11.85546875" customWidth="1"/>
    <col min="2" max="2" width="14.28515625" customWidth="1"/>
    <col min="3" max="3" width="10" bestFit="1" customWidth="1"/>
    <col min="5" max="5" width="9.140625" bestFit="1" customWidth="1"/>
    <col min="6" max="6" width="11" bestFit="1" customWidth="1"/>
    <col min="9" max="9" width="21.140625" style="3" customWidth="1"/>
    <col min="10" max="10" width="13.7109375" customWidth="1"/>
    <col min="11" max="11" width="16.7109375" customWidth="1"/>
    <col min="12" max="12" width="16.5703125" customWidth="1"/>
    <col min="13" max="13" width="15.7109375" customWidth="1"/>
    <col min="15" max="15" width="12.85546875" customWidth="1"/>
  </cols>
  <sheetData>
    <row r="1" spans="1:15" x14ac:dyDescent="0.25">
      <c r="A1" s="2" t="s">
        <v>40</v>
      </c>
    </row>
    <row r="2" spans="1:15" x14ac:dyDescent="0.25">
      <c r="A2" s="34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s="3" customFormat="1" ht="105" x14ac:dyDescent="0.25">
      <c r="A3" s="4" t="s">
        <v>0</v>
      </c>
      <c r="B3" s="4" t="s">
        <v>1</v>
      </c>
      <c r="C3" s="4" t="s">
        <v>38</v>
      </c>
      <c r="D3" s="4" t="s">
        <v>34</v>
      </c>
      <c r="E3" s="4" t="s">
        <v>9</v>
      </c>
      <c r="F3" s="4" t="s">
        <v>33</v>
      </c>
      <c r="G3" s="4" t="s">
        <v>11</v>
      </c>
      <c r="H3" s="5" t="s">
        <v>12</v>
      </c>
      <c r="J3" s="5" t="s">
        <v>19</v>
      </c>
      <c r="K3" s="4" t="s">
        <v>21</v>
      </c>
      <c r="L3" s="4" t="s">
        <v>20</v>
      </c>
      <c r="M3" s="21" t="s">
        <v>22</v>
      </c>
      <c r="O3" s="24" t="s">
        <v>23</v>
      </c>
    </row>
    <row r="4" spans="1:15" ht="30" x14ac:dyDescent="0.25">
      <c r="A4" t="s">
        <v>6</v>
      </c>
      <c r="B4" t="s">
        <v>29</v>
      </c>
      <c r="C4">
        <v>27.699252999999999</v>
      </c>
      <c r="D4" s="1">
        <v>112095</v>
      </c>
      <c r="E4" s="1">
        <f>C4*4046.86</f>
        <v>112094.99899558</v>
      </c>
      <c r="F4">
        <v>165.25743299999999</v>
      </c>
      <c r="G4">
        <f>(F4/1000)*D4</f>
        <v>18524.531952134999</v>
      </c>
      <c r="H4" s="8">
        <f>G4/1233.48</f>
        <v>15.018104835210137</v>
      </c>
      <c r="I4" s="11" t="s">
        <v>37</v>
      </c>
      <c r="J4" s="6">
        <f>F4-F5</f>
        <v>37.500222999999991</v>
      </c>
      <c r="K4">
        <f>(J4/1000)*D4</f>
        <v>4203.5874971849989</v>
      </c>
      <c r="L4" s="10">
        <f>K4/1233.48</f>
        <v>3.4079089220619703</v>
      </c>
      <c r="M4" s="22">
        <f>(J4/1000)*(100*4046.86)/1233.48</f>
        <v>12.303251974071729</v>
      </c>
      <c r="O4" s="6"/>
    </row>
    <row r="5" spans="1:15" x14ac:dyDescent="0.25">
      <c r="A5" t="s">
        <v>6</v>
      </c>
      <c r="B5" t="s">
        <v>30</v>
      </c>
      <c r="C5">
        <v>16.039596</v>
      </c>
      <c r="D5" s="1">
        <v>64910</v>
      </c>
      <c r="E5" s="1">
        <f t="shared" ref="E5:E7" si="0">C5*4046.86</f>
        <v>64909.999468560003</v>
      </c>
      <c r="F5">
        <v>127.75721</v>
      </c>
      <c r="G5">
        <f>(F5/1000)*D5</f>
        <v>8292.7205011000005</v>
      </c>
      <c r="H5" s="8">
        <f>G5/1233.48</f>
        <v>6.7230279381100626</v>
      </c>
      <c r="J5" s="6"/>
      <c r="L5" s="10"/>
      <c r="M5" s="22"/>
      <c r="O5" s="6"/>
    </row>
    <row r="6" spans="1:15" x14ac:dyDescent="0.25">
      <c r="A6" t="s">
        <v>2</v>
      </c>
      <c r="B6" t="s">
        <v>29</v>
      </c>
      <c r="C6">
        <v>24.099672000000002</v>
      </c>
      <c r="D6" s="1">
        <v>97528</v>
      </c>
      <c r="E6" s="1">
        <f t="shared" si="0"/>
        <v>97527.99862992001</v>
      </c>
      <c r="F6">
        <v>108.951932</v>
      </c>
      <c r="G6">
        <f>(F6/1000)*D6</f>
        <v>10625.864024095999</v>
      </c>
      <c r="H6" s="8">
        <f>G6/1233.48</f>
        <v>8.6145409930408263</v>
      </c>
      <c r="J6" s="6">
        <f>F6-F7</f>
        <v>15.382805000000005</v>
      </c>
      <c r="K6">
        <f>(J6/1000)*D6</f>
        <v>1500.2542060400006</v>
      </c>
      <c r="L6" s="10">
        <f>K6/1233.48</f>
        <v>1.2162776907935278</v>
      </c>
      <c r="M6" s="22">
        <f>(J6/1000)*(100*4046.86)/1233.48</f>
        <v>5.0468640141956103</v>
      </c>
      <c r="O6" s="6"/>
    </row>
    <row r="7" spans="1:15" x14ac:dyDescent="0.25">
      <c r="A7" t="s">
        <v>2</v>
      </c>
      <c r="B7" t="s">
        <v>30</v>
      </c>
      <c r="C7">
        <v>24.35765</v>
      </c>
      <c r="D7">
        <v>98572</v>
      </c>
      <c r="E7" s="1">
        <f t="shared" si="0"/>
        <v>98571.999479000006</v>
      </c>
      <c r="F7">
        <v>93.569126999999995</v>
      </c>
      <c r="G7">
        <f>(F7/1000)*D7</f>
        <v>9223.2959866439996</v>
      </c>
      <c r="H7" s="9">
        <f>G7/1233.48</f>
        <v>7.4774588859519406</v>
      </c>
      <c r="J7" s="7"/>
      <c r="M7" s="23"/>
      <c r="O7" s="7"/>
    </row>
    <row r="8" spans="1:15" x14ac:dyDescent="0.25">
      <c r="C8" s="25" t="s">
        <v>31</v>
      </c>
      <c r="D8" s="25" t="s">
        <v>31</v>
      </c>
      <c r="F8" s="25" t="s">
        <v>31</v>
      </c>
      <c r="J8" s="25" t="s">
        <v>35</v>
      </c>
    </row>
    <row r="10" spans="1:15" x14ac:dyDescent="0.25">
      <c r="A10" s="2" t="s">
        <v>26</v>
      </c>
    </row>
    <row r="11" spans="1:15" x14ac:dyDescent="0.25">
      <c r="A11" s="12" t="s">
        <v>6</v>
      </c>
      <c r="B11" s="13"/>
      <c r="C11" s="14">
        <f t="shared" ref="C11:H11" si="1">SUM(C4:C5)</f>
        <v>43.738849000000002</v>
      </c>
      <c r="D11" s="26">
        <f t="shared" si="1"/>
        <v>177005</v>
      </c>
      <c r="E11" s="27">
        <f t="shared" si="1"/>
        <v>177004.99846413999</v>
      </c>
      <c r="F11" s="26">
        <f t="shared" si="1"/>
        <v>293.01464299999998</v>
      </c>
      <c r="G11" s="14">
        <f t="shared" si="1"/>
        <v>26817.252453235</v>
      </c>
      <c r="H11" s="27">
        <f t="shared" si="1"/>
        <v>21.741132773320199</v>
      </c>
    </row>
    <row r="12" spans="1:15" x14ac:dyDescent="0.25">
      <c r="A12" s="15" t="s">
        <v>2</v>
      </c>
      <c r="C12" s="16">
        <f t="shared" ref="C12:H12" si="2">SUM(C6:C7)</f>
        <v>48.457322000000005</v>
      </c>
      <c r="D12" s="1">
        <f t="shared" si="2"/>
        <v>196100</v>
      </c>
      <c r="E12" s="16">
        <f t="shared" si="2"/>
        <v>196099.99810892</v>
      </c>
      <c r="F12" s="1">
        <f t="shared" si="2"/>
        <v>202.52105899999998</v>
      </c>
      <c r="G12" s="16">
        <f t="shared" si="2"/>
        <v>19849.160010740001</v>
      </c>
      <c r="H12" s="28">
        <f t="shared" si="2"/>
        <v>16.091999878992766</v>
      </c>
    </row>
    <row r="13" spans="1:15" x14ac:dyDescent="0.25">
      <c r="A13" s="17" t="s">
        <v>36</v>
      </c>
      <c r="B13" s="18"/>
      <c r="C13" s="19">
        <f>SUM(C4:C7)</f>
        <v>92.196170999999993</v>
      </c>
      <c r="D13" s="29">
        <f>SUM(D11:D12)</f>
        <v>373105</v>
      </c>
      <c r="E13" s="30">
        <f>SUM(E4:E7)</f>
        <v>373104.99657305999</v>
      </c>
      <c r="F13" s="29">
        <f t="shared" ref="F13" si="3">SUM(F11:F12)</f>
        <v>495.53570199999996</v>
      </c>
      <c r="G13" s="19">
        <f>SUM(G4:G7)</f>
        <v>46666.412463975001</v>
      </c>
      <c r="H13" s="30">
        <f t="shared" ref="H13" si="4">SUM(H11:H12)</f>
        <v>37.833132652312969</v>
      </c>
    </row>
    <row r="15" spans="1:15" x14ac:dyDescent="0.25">
      <c r="A15" s="34" t="s">
        <v>39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05" x14ac:dyDescent="0.25">
      <c r="A16" s="4" t="s">
        <v>0</v>
      </c>
      <c r="B16" s="4" t="s">
        <v>1</v>
      </c>
      <c r="C16" s="4" t="s">
        <v>38</v>
      </c>
      <c r="D16" s="4" t="s">
        <v>34</v>
      </c>
      <c r="E16" s="4" t="s">
        <v>9</v>
      </c>
      <c r="F16" s="4" t="s">
        <v>33</v>
      </c>
      <c r="G16" s="4" t="s">
        <v>11</v>
      </c>
      <c r="H16" s="5" t="s">
        <v>12</v>
      </c>
      <c r="J16" s="5" t="s">
        <v>19</v>
      </c>
      <c r="K16" s="4" t="s">
        <v>21</v>
      </c>
      <c r="L16" s="4" t="s">
        <v>20</v>
      </c>
      <c r="M16" s="21" t="s">
        <v>22</v>
      </c>
      <c r="N16" s="3"/>
      <c r="O16" s="24" t="s">
        <v>23</v>
      </c>
    </row>
    <row r="17" spans="1:15" ht="30" x14ac:dyDescent="0.25">
      <c r="A17" t="s">
        <v>6</v>
      </c>
      <c r="B17" t="s">
        <v>29</v>
      </c>
      <c r="C17">
        <v>27.699252999999999</v>
      </c>
      <c r="D17" s="1">
        <v>112095</v>
      </c>
      <c r="E17" s="1">
        <f>C17*4046.86</f>
        <v>112094.99899558</v>
      </c>
      <c r="F17">
        <v>154.59565499999999</v>
      </c>
      <c r="G17">
        <f>(F17/1000)*D17</f>
        <v>17329.399947225</v>
      </c>
      <c r="H17" s="8">
        <f>G17/1233.48</f>
        <v>14.049194107099426</v>
      </c>
      <c r="I17" s="11" t="s">
        <v>37</v>
      </c>
      <c r="J17" s="6">
        <f>F17-F18</f>
        <v>35.080849999999998</v>
      </c>
      <c r="K17">
        <f>(J17/1000)*D17</f>
        <v>3932.3878807499996</v>
      </c>
      <c r="L17" s="10">
        <f>K17/1233.48</f>
        <v>3.1880434873285335</v>
      </c>
      <c r="M17" s="22">
        <f>(J17/1000)*(100*4046.86)/1233.48</f>
        <v>11.50949254394072</v>
      </c>
      <c r="O17" s="6"/>
    </row>
    <row r="18" spans="1:15" x14ac:dyDescent="0.25">
      <c r="A18" t="s">
        <v>6</v>
      </c>
      <c r="B18" t="s">
        <v>30</v>
      </c>
      <c r="C18">
        <v>16.039596</v>
      </c>
      <c r="D18" s="1">
        <v>64910</v>
      </c>
      <c r="E18" s="1">
        <f t="shared" ref="E18:E20" si="5">C18*4046.86</f>
        <v>64909.999468560003</v>
      </c>
      <c r="F18">
        <v>119.514805</v>
      </c>
      <c r="G18">
        <f>(F18/1000)*D18</f>
        <v>7757.7059925499998</v>
      </c>
      <c r="H18" s="8">
        <f>G18/1233.48</f>
        <v>6.2892839710007458</v>
      </c>
      <c r="J18" s="6"/>
      <c r="L18" s="10"/>
      <c r="M18" s="22"/>
      <c r="O18" s="6"/>
    </row>
    <row r="19" spans="1:15" x14ac:dyDescent="0.25">
      <c r="A19" t="s">
        <v>2</v>
      </c>
      <c r="B19" t="s">
        <v>29</v>
      </c>
      <c r="C19">
        <v>24.099672000000002</v>
      </c>
      <c r="D19" s="1">
        <v>97528</v>
      </c>
      <c r="E19" s="1">
        <f t="shared" si="5"/>
        <v>97527.99862992001</v>
      </c>
      <c r="F19">
        <v>119.49566299999999</v>
      </c>
      <c r="G19">
        <f>(F19/1000)*D19</f>
        <v>11654.173021063998</v>
      </c>
      <c r="H19" s="8">
        <f>G19/1233.48</f>
        <v>9.4482059061062991</v>
      </c>
      <c r="J19" s="6">
        <f>F19-F20</f>
        <v>16.871458999999987</v>
      </c>
      <c r="K19">
        <f>(J19/1000)*D19</f>
        <v>1645.4396533519989</v>
      </c>
      <c r="L19" s="10">
        <f>K19/1233.48</f>
        <v>1.333981623822031</v>
      </c>
      <c r="M19" s="22">
        <f>(J19/1000)*(100*4046.86)/1233.48</f>
        <v>5.5352687168612338</v>
      </c>
      <c r="O19" s="6"/>
    </row>
    <row r="20" spans="1:15" x14ac:dyDescent="0.25">
      <c r="A20" t="s">
        <v>2</v>
      </c>
      <c r="B20" t="s">
        <v>30</v>
      </c>
      <c r="C20">
        <v>24.35765</v>
      </c>
      <c r="D20">
        <v>98572</v>
      </c>
      <c r="E20" s="1">
        <f t="shared" si="5"/>
        <v>98571.999479000006</v>
      </c>
      <c r="F20">
        <v>102.62420400000001</v>
      </c>
      <c r="G20">
        <f>(F20/1000)*D20</f>
        <v>10115.873036688001</v>
      </c>
      <c r="H20" s="9">
        <f>G20/1233.48</f>
        <v>8.201083954898337</v>
      </c>
      <c r="J20" s="7"/>
      <c r="M20" s="23"/>
      <c r="O20" s="7"/>
    </row>
    <row r="21" spans="1:15" x14ac:dyDescent="0.25">
      <c r="C21" s="25" t="s">
        <v>31</v>
      </c>
      <c r="D21" s="25" t="s">
        <v>31</v>
      </c>
      <c r="F21" s="25" t="s">
        <v>31</v>
      </c>
      <c r="J21" s="25" t="s">
        <v>35</v>
      </c>
    </row>
    <row r="23" spans="1:15" x14ac:dyDescent="0.25">
      <c r="A23" s="2" t="s">
        <v>26</v>
      </c>
    </row>
    <row r="24" spans="1:15" x14ac:dyDescent="0.25">
      <c r="A24" s="12" t="s">
        <v>6</v>
      </c>
      <c r="B24" s="13"/>
      <c r="C24" s="14">
        <f t="shared" ref="C24:H24" si="6">SUM(C17:C18)</f>
        <v>43.738849000000002</v>
      </c>
      <c r="D24" s="26">
        <f t="shared" si="6"/>
        <v>177005</v>
      </c>
      <c r="E24" s="27">
        <f t="shared" si="6"/>
        <v>177004.99846413999</v>
      </c>
      <c r="F24" s="26">
        <f t="shared" si="6"/>
        <v>274.11045999999999</v>
      </c>
      <c r="G24" s="14">
        <f t="shared" si="6"/>
        <v>25087.105939775</v>
      </c>
      <c r="H24" s="27">
        <f t="shared" si="6"/>
        <v>20.338478078100174</v>
      </c>
    </row>
    <row r="25" spans="1:15" x14ac:dyDescent="0.25">
      <c r="A25" s="15" t="s">
        <v>2</v>
      </c>
      <c r="C25" s="16">
        <f t="shared" ref="C25:H25" si="7">SUM(C19:C20)</f>
        <v>48.457322000000005</v>
      </c>
      <c r="D25" s="1">
        <f t="shared" si="7"/>
        <v>196100</v>
      </c>
      <c r="E25" s="16">
        <f t="shared" si="7"/>
        <v>196099.99810892</v>
      </c>
      <c r="F25" s="1">
        <f t="shared" si="7"/>
        <v>222.119867</v>
      </c>
      <c r="G25" s="16">
        <f t="shared" si="7"/>
        <v>21770.046057751999</v>
      </c>
      <c r="H25" s="28">
        <f t="shared" si="7"/>
        <v>17.649289861004636</v>
      </c>
    </row>
    <row r="26" spans="1:15" x14ac:dyDescent="0.25">
      <c r="A26" s="17" t="s">
        <v>36</v>
      </c>
      <c r="B26" s="18"/>
      <c r="C26" s="19">
        <f>SUM(C17:C20)</f>
        <v>92.196170999999993</v>
      </c>
      <c r="D26" s="29">
        <f>SUM(D24:D25)</f>
        <v>373105</v>
      </c>
      <c r="E26" s="19">
        <f>SUM(E17:E20)</f>
        <v>373104.99657305999</v>
      </c>
      <c r="F26" s="29">
        <f t="shared" ref="F26" si="8">SUM(F24:F25)</f>
        <v>496.23032699999999</v>
      </c>
      <c r="G26" s="19">
        <f>SUM(G17:G20)</f>
        <v>46857.151997527006</v>
      </c>
      <c r="H26" s="30">
        <f t="shared" ref="H26" si="9">SUM(H24:H25)</f>
        <v>37.987767939104813</v>
      </c>
    </row>
  </sheetData>
  <mergeCells count="2">
    <mergeCell ref="A2:O2"/>
    <mergeCell ref="A15:O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920C-7C91-4176-A815-D2B85C35DF7B}">
  <dimension ref="A1:O26"/>
  <sheetViews>
    <sheetView zoomScale="130" zoomScaleNormal="130" workbookViewId="0">
      <selection activeCell="I13" sqref="I13"/>
    </sheetView>
  </sheetViews>
  <sheetFormatPr defaultRowHeight="15" x14ac:dyDescent="0.25"/>
  <cols>
    <col min="1" max="1" width="11.85546875" customWidth="1"/>
    <col min="2" max="2" width="14.28515625" customWidth="1"/>
    <col min="3" max="3" width="10" bestFit="1" customWidth="1"/>
    <col min="5" max="5" width="9.140625" bestFit="1" customWidth="1"/>
    <col min="6" max="6" width="11" bestFit="1" customWidth="1"/>
    <col min="9" max="9" width="21.140625" style="3" customWidth="1"/>
    <col min="10" max="10" width="13.7109375" customWidth="1"/>
    <col min="11" max="11" width="16.7109375" customWidth="1"/>
    <col min="12" max="12" width="16.5703125" customWidth="1"/>
    <col min="13" max="13" width="15.7109375" customWidth="1"/>
    <col min="15" max="15" width="12.85546875" customWidth="1"/>
  </cols>
  <sheetData>
    <row r="1" spans="1:15" x14ac:dyDescent="0.25">
      <c r="A1" s="2" t="s">
        <v>41</v>
      </c>
    </row>
    <row r="2" spans="1:15" x14ac:dyDescent="0.25">
      <c r="A2" s="34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s="3" customFormat="1" ht="105" x14ac:dyDescent="0.25">
      <c r="A3" s="4" t="s">
        <v>0</v>
      </c>
      <c r="B3" s="4" t="s">
        <v>1</v>
      </c>
      <c r="C3" s="4" t="s">
        <v>38</v>
      </c>
      <c r="D3" s="4" t="s">
        <v>34</v>
      </c>
      <c r="E3" s="4" t="s">
        <v>9</v>
      </c>
      <c r="F3" s="4" t="s">
        <v>33</v>
      </c>
      <c r="G3" s="4" t="s">
        <v>11</v>
      </c>
      <c r="H3" s="5" t="s">
        <v>12</v>
      </c>
      <c r="J3" s="5" t="s">
        <v>19</v>
      </c>
      <c r="K3" s="4" t="s">
        <v>21</v>
      </c>
      <c r="L3" s="4" t="s">
        <v>20</v>
      </c>
      <c r="M3" s="21" t="s">
        <v>22</v>
      </c>
      <c r="O3" s="24" t="s">
        <v>23</v>
      </c>
    </row>
    <row r="4" spans="1:15" ht="30" x14ac:dyDescent="0.25">
      <c r="A4" t="s">
        <v>6</v>
      </c>
      <c r="B4" t="s">
        <v>29</v>
      </c>
      <c r="D4" s="1"/>
      <c r="E4" s="1">
        <f>C4*4046.86</f>
        <v>0</v>
      </c>
      <c r="G4">
        <f>(F4/1000)*D4</f>
        <v>0</v>
      </c>
      <c r="H4" s="8">
        <f>G4/1233.48</f>
        <v>0</v>
      </c>
      <c r="I4" s="11" t="s">
        <v>37</v>
      </c>
      <c r="J4" s="6">
        <f>F4-F5</f>
        <v>0</v>
      </c>
      <c r="K4">
        <f>(J4/1000)*D4</f>
        <v>0</v>
      </c>
      <c r="L4" s="10">
        <f>K4/1233.48</f>
        <v>0</v>
      </c>
      <c r="M4" s="22">
        <f>(J4/1000)*(100*4046.86)/1233.48</f>
        <v>0</v>
      </c>
      <c r="O4" s="6"/>
    </row>
    <row r="5" spans="1:15" x14ac:dyDescent="0.25">
      <c r="A5" t="s">
        <v>6</v>
      </c>
      <c r="B5" t="s">
        <v>30</v>
      </c>
      <c r="D5" s="1"/>
      <c r="E5" s="1">
        <f t="shared" ref="E5:E7" si="0">C5*4046.86</f>
        <v>0</v>
      </c>
      <c r="G5">
        <f>(F5/1000)*D5</f>
        <v>0</v>
      </c>
      <c r="H5" s="8">
        <f>G5/1233.48</f>
        <v>0</v>
      </c>
      <c r="J5" s="6"/>
      <c r="L5" s="10"/>
      <c r="M5" s="22"/>
      <c r="O5" s="6"/>
    </row>
    <row r="6" spans="1:15" x14ac:dyDescent="0.25">
      <c r="A6" t="s">
        <v>2</v>
      </c>
      <c r="B6" t="s">
        <v>29</v>
      </c>
      <c r="D6" s="1"/>
      <c r="E6" s="1">
        <f t="shared" si="0"/>
        <v>0</v>
      </c>
      <c r="G6">
        <f>(F6/1000)*D6</f>
        <v>0</v>
      </c>
      <c r="H6" s="8">
        <f>G6/1233.48</f>
        <v>0</v>
      </c>
      <c r="J6" s="6">
        <f>F6-F7</f>
        <v>0</v>
      </c>
      <c r="K6">
        <f>(J6/1000)*D6</f>
        <v>0</v>
      </c>
      <c r="L6" s="10">
        <f>K6/1233.48</f>
        <v>0</v>
      </c>
      <c r="M6" s="22">
        <f>(J6/1000)*(100*4046.86)/1233.48</f>
        <v>0</v>
      </c>
      <c r="O6" s="6"/>
    </row>
    <row r="7" spans="1:15" x14ac:dyDescent="0.25">
      <c r="A7" t="s">
        <v>2</v>
      </c>
      <c r="B7" t="s">
        <v>30</v>
      </c>
      <c r="E7" s="1">
        <f t="shared" si="0"/>
        <v>0</v>
      </c>
      <c r="G7">
        <f>(F7/1000)*D7</f>
        <v>0</v>
      </c>
      <c r="H7" s="9">
        <f>G7/1233.48</f>
        <v>0</v>
      </c>
      <c r="J7" s="7"/>
      <c r="M7" s="23"/>
      <c r="O7" s="7"/>
    </row>
    <row r="8" spans="1:15" x14ac:dyDescent="0.25">
      <c r="C8" s="25" t="s">
        <v>31</v>
      </c>
      <c r="D8" s="25" t="s">
        <v>31</v>
      </c>
      <c r="F8" s="25" t="s">
        <v>31</v>
      </c>
      <c r="J8" s="25" t="s">
        <v>35</v>
      </c>
    </row>
    <row r="10" spans="1:15" x14ac:dyDescent="0.25">
      <c r="A10" s="2" t="s">
        <v>26</v>
      </c>
    </row>
    <row r="11" spans="1:15" x14ac:dyDescent="0.25">
      <c r="A11" s="12" t="s">
        <v>6</v>
      </c>
      <c r="B11" s="13"/>
      <c r="C11" s="14">
        <f t="shared" ref="C11:H11" si="1">SUM(C4:C5)</f>
        <v>0</v>
      </c>
      <c r="D11" s="26">
        <f t="shared" si="1"/>
        <v>0</v>
      </c>
      <c r="E11" s="27">
        <f t="shared" si="1"/>
        <v>0</v>
      </c>
      <c r="F11" s="26">
        <f t="shared" si="1"/>
        <v>0</v>
      </c>
      <c r="G11" s="14">
        <f t="shared" si="1"/>
        <v>0</v>
      </c>
      <c r="H11" s="27">
        <f t="shared" si="1"/>
        <v>0</v>
      </c>
    </row>
    <row r="12" spans="1:15" x14ac:dyDescent="0.25">
      <c r="A12" s="15" t="s">
        <v>2</v>
      </c>
      <c r="C12" s="16">
        <f t="shared" ref="C12:H12" si="2">SUM(C6:C7)</f>
        <v>0</v>
      </c>
      <c r="D12" s="1">
        <f t="shared" si="2"/>
        <v>0</v>
      </c>
      <c r="E12" s="16">
        <f t="shared" si="2"/>
        <v>0</v>
      </c>
      <c r="F12" s="1">
        <f t="shared" si="2"/>
        <v>0</v>
      </c>
      <c r="G12" s="16">
        <f t="shared" si="2"/>
        <v>0</v>
      </c>
      <c r="H12" s="28">
        <f t="shared" si="2"/>
        <v>0</v>
      </c>
    </row>
    <row r="13" spans="1:15" x14ac:dyDescent="0.25">
      <c r="A13" s="17" t="s">
        <v>36</v>
      </c>
      <c r="B13" s="18"/>
      <c r="C13" s="19">
        <f>SUM(C4:C7)</f>
        <v>0</v>
      </c>
      <c r="D13" s="29">
        <f>SUM(D11:D12)</f>
        <v>0</v>
      </c>
      <c r="E13" s="30">
        <f>SUM(E4:E7)</f>
        <v>0</v>
      </c>
      <c r="F13" s="29">
        <f t="shared" ref="F13" si="3">SUM(F11:F12)</f>
        <v>0</v>
      </c>
      <c r="G13" s="19">
        <f>SUM(G4:G7)</f>
        <v>0</v>
      </c>
      <c r="H13" s="30">
        <f t="shared" ref="H13" si="4">SUM(H11:H12)</f>
        <v>0</v>
      </c>
    </row>
    <row r="15" spans="1:15" x14ac:dyDescent="0.25">
      <c r="A15" s="34" t="s">
        <v>39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05" x14ac:dyDescent="0.25">
      <c r="A16" s="4" t="s">
        <v>0</v>
      </c>
      <c r="B16" s="4" t="s">
        <v>1</v>
      </c>
      <c r="C16" s="4" t="s">
        <v>38</v>
      </c>
      <c r="D16" s="4" t="s">
        <v>34</v>
      </c>
      <c r="E16" s="4" t="s">
        <v>9</v>
      </c>
      <c r="F16" s="4" t="s">
        <v>33</v>
      </c>
      <c r="G16" s="4" t="s">
        <v>11</v>
      </c>
      <c r="H16" s="5" t="s">
        <v>12</v>
      </c>
      <c r="J16" s="5" t="s">
        <v>19</v>
      </c>
      <c r="K16" s="4" t="s">
        <v>21</v>
      </c>
      <c r="L16" s="4" t="s">
        <v>20</v>
      </c>
      <c r="M16" s="21" t="s">
        <v>22</v>
      </c>
      <c r="N16" s="3"/>
      <c r="O16" s="24" t="s">
        <v>23</v>
      </c>
    </row>
    <row r="17" spans="1:15" ht="30" x14ac:dyDescent="0.25">
      <c r="A17" t="s">
        <v>6</v>
      </c>
      <c r="B17" t="s">
        <v>29</v>
      </c>
      <c r="D17" s="1"/>
      <c r="E17" s="1">
        <f>C17*4046.86</f>
        <v>0</v>
      </c>
      <c r="G17">
        <f>(F17/1000)*D17</f>
        <v>0</v>
      </c>
      <c r="H17" s="8">
        <f>G17/1233.48</f>
        <v>0</v>
      </c>
      <c r="I17" s="11" t="s">
        <v>37</v>
      </c>
      <c r="J17" s="6">
        <f>F17-F18</f>
        <v>0</v>
      </c>
      <c r="K17">
        <f>(J17/1000)*D17</f>
        <v>0</v>
      </c>
      <c r="L17" s="10">
        <f>K17/1233.48</f>
        <v>0</v>
      </c>
      <c r="M17" s="22">
        <f>(J17/1000)*(100*4046.86)/1233.48</f>
        <v>0</v>
      </c>
      <c r="O17" s="6"/>
    </row>
    <row r="18" spans="1:15" x14ac:dyDescent="0.25">
      <c r="A18" t="s">
        <v>6</v>
      </c>
      <c r="B18" t="s">
        <v>30</v>
      </c>
      <c r="D18" s="1"/>
      <c r="E18" s="1">
        <f t="shared" ref="E18:E20" si="5">C18*4046.86</f>
        <v>0</v>
      </c>
      <c r="G18">
        <f>(F18/1000)*D18</f>
        <v>0</v>
      </c>
      <c r="H18" s="8">
        <f>G18/1233.48</f>
        <v>0</v>
      </c>
      <c r="J18" s="6"/>
      <c r="L18" s="10"/>
      <c r="M18" s="22"/>
      <c r="O18" s="6"/>
    </row>
    <row r="19" spans="1:15" x14ac:dyDescent="0.25">
      <c r="A19" t="s">
        <v>2</v>
      </c>
      <c r="B19" t="s">
        <v>29</v>
      </c>
      <c r="D19" s="1"/>
      <c r="E19" s="1">
        <f t="shared" si="5"/>
        <v>0</v>
      </c>
      <c r="G19">
        <f>(F19/1000)*D19</f>
        <v>0</v>
      </c>
      <c r="H19" s="8">
        <f>G19/1233.48</f>
        <v>0</v>
      </c>
      <c r="J19" s="6">
        <f>F19-F20</f>
        <v>0</v>
      </c>
      <c r="K19">
        <f>(J19/1000)*D19</f>
        <v>0</v>
      </c>
      <c r="L19" s="10">
        <f>K19/1233.48</f>
        <v>0</v>
      </c>
      <c r="M19" s="22">
        <f>(J19/1000)*(100*4046.86)/1233.48</f>
        <v>0</v>
      </c>
      <c r="O19" s="6"/>
    </row>
    <row r="20" spans="1:15" x14ac:dyDescent="0.25">
      <c r="A20" t="s">
        <v>2</v>
      </c>
      <c r="B20" t="s">
        <v>30</v>
      </c>
      <c r="E20" s="1">
        <f t="shared" si="5"/>
        <v>0</v>
      </c>
      <c r="G20">
        <f>(F20/1000)*D20</f>
        <v>0</v>
      </c>
      <c r="H20" s="9">
        <f>G20/1233.48</f>
        <v>0</v>
      </c>
      <c r="J20" s="7"/>
      <c r="M20" s="23"/>
      <c r="O20" s="7"/>
    </row>
    <row r="21" spans="1:15" x14ac:dyDescent="0.25">
      <c r="C21" s="25" t="s">
        <v>31</v>
      </c>
      <c r="D21" s="25" t="s">
        <v>31</v>
      </c>
      <c r="F21" s="25" t="s">
        <v>31</v>
      </c>
      <c r="J21" s="25" t="s">
        <v>35</v>
      </c>
    </row>
    <row r="23" spans="1:15" x14ac:dyDescent="0.25">
      <c r="A23" s="2" t="s">
        <v>26</v>
      </c>
    </row>
    <row r="24" spans="1:15" x14ac:dyDescent="0.25">
      <c r="A24" s="12" t="s">
        <v>6</v>
      </c>
      <c r="B24" s="13"/>
      <c r="C24" s="14">
        <f t="shared" ref="C24:H24" si="6">SUM(C17:C18)</f>
        <v>0</v>
      </c>
      <c r="D24" s="26">
        <f t="shared" si="6"/>
        <v>0</v>
      </c>
      <c r="E24" s="27">
        <f t="shared" si="6"/>
        <v>0</v>
      </c>
      <c r="F24" s="26">
        <f t="shared" si="6"/>
        <v>0</v>
      </c>
      <c r="G24" s="14">
        <f t="shared" si="6"/>
        <v>0</v>
      </c>
      <c r="H24" s="27">
        <f t="shared" si="6"/>
        <v>0</v>
      </c>
    </row>
    <row r="25" spans="1:15" x14ac:dyDescent="0.25">
      <c r="A25" s="15" t="s">
        <v>2</v>
      </c>
      <c r="C25" s="16">
        <f t="shared" ref="C25:H25" si="7">SUM(C19:C20)</f>
        <v>0</v>
      </c>
      <c r="D25" s="1">
        <f t="shared" si="7"/>
        <v>0</v>
      </c>
      <c r="E25" s="16">
        <f t="shared" si="7"/>
        <v>0</v>
      </c>
      <c r="F25" s="1">
        <f t="shared" si="7"/>
        <v>0</v>
      </c>
      <c r="G25" s="16">
        <f t="shared" si="7"/>
        <v>0</v>
      </c>
      <c r="H25" s="28">
        <f t="shared" si="7"/>
        <v>0</v>
      </c>
    </row>
    <row r="26" spans="1:15" x14ac:dyDescent="0.25">
      <c r="A26" s="17" t="s">
        <v>36</v>
      </c>
      <c r="B26" s="18"/>
      <c r="C26" s="19">
        <f>SUM(C17:C20)</f>
        <v>0</v>
      </c>
      <c r="D26" s="29">
        <f>SUM(D24:D25)</f>
        <v>0</v>
      </c>
      <c r="E26" s="19">
        <f>SUM(E17:E20)</f>
        <v>0</v>
      </c>
      <c r="F26" s="29">
        <f t="shared" ref="F26" si="8">SUM(F24:F25)</f>
        <v>0</v>
      </c>
      <c r="G26" s="19">
        <f>SUM(G17:G20)</f>
        <v>0</v>
      </c>
      <c r="H26" s="30">
        <f t="shared" ref="H26" si="9">SUM(H24:H25)</f>
        <v>0</v>
      </c>
    </row>
  </sheetData>
  <mergeCells count="2">
    <mergeCell ref="A2:O2"/>
    <mergeCell ref="A15:O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C67-4DEB-4DB1-86C3-D33846FFEA84}">
  <dimension ref="A1:O26"/>
  <sheetViews>
    <sheetView tabSelected="1" zoomScaleNormal="100" workbookViewId="0">
      <selection activeCell="L3" sqref="L3"/>
    </sheetView>
  </sheetViews>
  <sheetFormatPr defaultRowHeight="15" x14ac:dyDescent="0.25"/>
  <cols>
    <col min="1" max="1" width="11.85546875" customWidth="1"/>
    <col min="2" max="2" width="14.28515625" customWidth="1"/>
    <col min="3" max="3" width="10.28515625" bestFit="1" customWidth="1"/>
    <col min="4" max="5" width="14.28515625" bestFit="1" customWidth="1"/>
    <col min="6" max="6" width="11.28515625" bestFit="1" customWidth="1"/>
    <col min="7" max="7" width="13.28515625" bestFit="1" customWidth="1"/>
    <col min="9" max="9" width="21.140625" style="3" customWidth="1"/>
    <col min="10" max="10" width="13.7109375" customWidth="1"/>
    <col min="11" max="11" width="16.7109375" customWidth="1"/>
    <col min="12" max="12" width="16.5703125" customWidth="1"/>
    <col min="13" max="13" width="15.7109375" customWidth="1"/>
    <col min="15" max="15" width="12.85546875" customWidth="1"/>
  </cols>
  <sheetData>
    <row r="1" spans="1:15" x14ac:dyDescent="0.25">
      <c r="A1" s="2" t="s">
        <v>40</v>
      </c>
    </row>
    <row r="2" spans="1:15" x14ac:dyDescent="0.25">
      <c r="A2" s="34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s="3" customFormat="1" ht="105" x14ac:dyDescent="0.25">
      <c r="A3" s="4" t="s">
        <v>0</v>
      </c>
      <c r="B3" s="4" t="s">
        <v>1</v>
      </c>
      <c r="C3" s="4" t="s">
        <v>38</v>
      </c>
      <c r="D3" s="4" t="s">
        <v>34</v>
      </c>
      <c r="E3" s="4" t="s">
        <v>9</v>
      </c>
      <c r="F3" s="4" t="s">
        <v>33</v>
      </c>
      <c r="G3" s="4" t="s">
        <v>11</v>
      </c>
      <c r="H3" s="5" t="s">
        <v>12</v>
      </c>
      <c r="J3" s="5" t="s">
        <v>19</v>
      </c>
      <c r="K3" s="4" t="s">
        <v>21</v>
      </c>
      <c r="L3" s="4" t="s">
        <v>20</v>
      </c>
      <c r="M3" s="21" t="s">
        <v>22</v>
      </c>
      <c r="O3" s="24" t="s">
        <v>23</v>
      </c>
    </row>
    <row r="4" spans="1:15" ht="30" x14ac:dyDescent="0.25">
      <c r="A4" t="s">
        <v>6</v>
      </c>
      <c r="B4" t="s">
        <v>29</v>
      </c>
      <c r="C4" s="31">
        <v>27.699252999999999</v>
      </c>
      <c r="D4" s="31">
        <v>112095</v>
      </c>
      <c r="E4" s="31">
        <f>C4*4046.86</f>
        <v>112094.99899558</v>
      </c>
      <c r="F4" s="33">
        <v>165.25743299999999</v>
      </c>
      <c r="G4" s="31">
        <f>(F4/1000)*D4</f>
        <v>18524.531952134999</v>
      </c>
      <c r="H4" s="8">
        <f>G4/1233.48</f>
        <v>15.018104835210137</v>
      </c>
      <c r="I4" s="11" t="s">
        <v>37</v>
      </c>
      <c r="J4" s="8">
        <f>F4-F5</f>
        <v>37.500222999999991</v>
      </c>
      <c r="K4" s="31">
        <f>(J4/1000)*D4</f>
        <v>4203.5874971849989</v>
      </c>
      <c r="L4" s="31">
        <f>K4/1233.48</f>
        <v>3.4079089220619703</v>
      </c>
      <c r="M4" s="32">
        <f>(J4/1000)*(100*4046.86)/1233.48</f>
        <v>12.303251974071729</v>
      </c>
      <c r="O4" s="6"/>
    </row>
    <row r="5" spans="1:15" x14ac:dyDescent="0.25">
      <c r="A5" t="s">
        <v>6</v>
      </c>
      <c r="B5" t="s">
        <v>30</v>
      </c>
      <c r="C5" s="31">
        <v>16.039596</v>
      </c>
      <c r="D5" s="31">
        <v>64910</v>
      </c>
      <c r="E5" s="31">
        <f t="shared" ref="E5:E7" si="0">C5*4046.86</f>
        <v>64909.999468560003</v>
      </c>
      <c r="F5" s="33">
        <v>127.75721</v>
      </c>
      <c r="G5" s="31">
        <f>(F5/1000)*D5</f>
        <v>8292.7205011000005</v>
      </c>
      <c r="H5" s="8">
        <f>G5/1233.48</f>
        <v>6.7230279381100626</v>
      </c>
      <c r="J5" s="8"/>
      <c r="K5" s="31"/>
      <c r="L5" s="31"/>
      <c r="M5" s="32"/>
      <c r="O5" s="6"/>
    </row>
    <row r="6" spans="1:15" x14ac:dyDescent="0.25">
      <c r="A6" t="s">
        <v>2</v>
      </c>
      <c r="B6" t="s">
        <v>29</v>
      </c>
      <c r="C6" s="31">
        <v>24.099672000000002</v>
      </c>
      <c r="D6" s="31">
        <v>97528</v>
      </c>
      <c r="E6" s="31">
        <f t="shared" si="0"/>
        <v>97527.99862992001</v>
      </c>
      <c r="F6" s="33">
        <v>108.951932</v>
      </c>
      <c r="G6" s="31">
        <f>(F6/1000)*D6</f>
        <v>10625.864024095999</v>
      </c>
      <c r="H6" s="8">
        <f>G6/1233.48</f>
        <v>8.6145409930408263</v>
      </c>
      <c r="J6" s="8">
        <f>F6-F7</f>
        <v>15.382805000000005</v>
      </c>
      <c r="K6" s="31">
        <f>(J6/1000)*D6</f>
        <v>1500.2542060400006</v>
      </c>
      <c r="L6" s="31">
        <f>K6/1233.48</f>
        <v>1.2162776907935278</v>
      </c>
      <c r="M6" s="22">
        <f>(J6/1000)*(100*4046.86)/1233.48</f>
        <v>5.0468640141956103</v>
      </c>
      <c r="O6" s="6"/>
    </row>
    <row r="7" spans="1:15" x14ac:dyDescent="0.25">
      <c r="A7" t="s">
        <v>2</v>
      </c>
      <c r="B7" t="s">
        <v>30</v>
      </c>
      <c r="C7" s="31">
        <v>24.35765</v>
      </c>
      <c r="D7" s="31">
        <v>98572</v>
      </c>
      <c r="E7" s="31">
        <f t="shared" si="0"/>
        <v>98571.999479000006</v>
      </c>
      <c r="F7" s="33">
        <v>93.569126999999995</v>
      </c>
      <c r="G7" s="31">
        <f>(F7/1000)*D7</f>
        <v>9223.2959866439996</v>
      </c>
      <c r="H7" s="9">
        <f>G7/1233.48</f>
        <v>7.4774588859519406</v>
      </c>
      <c r="J7" s="7"/>
      <c r="M7" s="23"/>
      <c r="O7" s="7"/>
    </row>
    <row r="8" spans="1:15" x14ac:dyDescent="0.25">
      <c r="C8" s="25" t="s">
        <v>31</v>
      </c>
      <c r="D8" s="25" t="s">
        <v>31</v>
      </c>
      <c r="F8" s="25" t="s">
        <v>31</v>
      </c>
      <c r="J8" s="25" t="s">
        <v>35</v>
      </c>
    </row>
    <row r="10" spans="1:15" x14ac:dyDescent="0.25">
      <c r="A10" s="2" t="s">
        <v>26</v>
      </c>
    </row>
    <row r="11" spans="1:15" x14ac:dyDescent="0.25">
      <c r="A11" s="12" t="s">
        <v>6</v>
      </c>
      <c r="B11" s="13"/>
      <c r="C11" s="14">
        <f t="shared" ref="C11:H11" si="1">SUM(C4:C5)</f>
        <v>43.738849000000002</v>
      </c>
      <c r="D11" s="26">
        <f t="shared" si="1"/>
        <v>177005</v>
      </c>
      <c r="E11" s="27">
        <f t="shared" si="1"/>
        <v>177004.99846413999</v>
      </c>
      <c r="F11" s="26">
        <f t="shared" si="1"/>
        <v>293.01464299999998</v>
      </c>
      <c r="G11" s="14">
        <f t="shared" si="1"/>
        <v>26817.252453235</v>
      </c>
      <c r="H11" s="27">
        <f t="shared" si="1"/>
        <v>21.741132773320199</v>
      </c>
    </row>
    <row r="12" spans="1:15" x14ac:dyDescent="0.25">
      <c r="A12" s="15" t="s">
        <v>2</v>
      </c>
      <c r="C12" s="16">
        <f t="shared" ref="C12:H12" si="2">SUM(C6:C7)</f>
        <v>48.457322000000005</v>
      </c>
      <c r="D12" s="1">
        <f t="shared" si="2"/>
        <v>196100</v>
      </c>
      <c r="E12" s="16">
        <f t="shared" si="2"/>
        <v>196099.99810892</v>
      </c>
      <c r="F12" s="1">
        <f t="shared" si="2"/>
        <v>202.52105899999998</v>
      </c>
      <c r="G12" s="16">
        <f t="shared" si="2"/>
        <v>19849.160010740001</v>
      </c>
      <c r="H12" s="28">
        <f t="shared" si="2"/>
        <v>16.091999878992766</v>
      </c>
    </row>
    <row r="13" spans="1:15" x14ac:dyDescent="0.25">
      <c r="A13" s="17" t="s">
        <v>36</v>
      </c>
      <c r="B13" s="18"/>
      <c r="C13" s="19">
        <f>SUM(C4:C7)</f>
        <v>92.196170999999993</v>
      </c>
      <c r="D13" s="29">
        <f>SUM(D11:D12)</f>
        <v>373105</v>
      </c>
      <c r="E13" s="30">
        <f>SUM(E4:E7)</f>
        <v>373104.99657305999</v>
      </c>
      <c r="F13" s="29">
        <f t="shared" ref="F13" si="3">SUM(F11:F12)</f>
        <v>495.53570199999996</v>
      </c>
      <c r="G13" s="19">
        <f>SUM(G4:G7)</f>
        <v>46666.412463975001</v>
      </c>
      <c r="H13" s="30">
        <f t="shared" ref="H13" si="4">SUM(H11:H12)</f>
        <v>37.833132652312969</v>
      </c>
    </row>
    <row r="15" spans="1:15" x14ac:dyDescent="0.25">
      <c r="A15" s="34" t="s">
        <v>39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05" x14ac:dyDescent="0.25">
      <c r="A16" s="4" t="s">
        <v>0</v>
      </c>
      <c r="B16" s="4" t="s">
        <v>1</v>
      </c>
      <c r="C16" s="4" t="s">
        <v>38</v>
      </c>
      <c r="D16" s="4" t="s">
        <v>34</v>
      </c>
      <c r="E16" s="4" t="s">
        <v>9</v>
      </c>
      <c r="F16" s="4" t="s">
        <v>33</v>
      </c>
      <c r="G16" s="4" t="s">
        <v>11</v>
      </c>
      <c r="H16" s="5" t="s">
        <v>12</v>
      </c>
      <c r="J16" s="5" t="s">
        <v>19</v>
      </c>
      <c r="K16" s="4" t="s">
        <v>21</v>
      </c>
      <c r="L16" s="4" t="s">
        <v>20</v>
      </c>
      <c r="M16" s="21" t="s">
        <v>22</v>
      </c>
      <c r="N16" s="3"/>
      <c r="O16" s="24" t="s">
        <v>23</v>
      </c>
    </row>
    <row r="17" spans="1:15" ht="30" x14ac:dyDescent="0.25">
      <c r="A17" t="s">
        <v>6</v>
      </c>
      <c r="B17" t="s">
        <v>29</v>
      </c>
      <c r="C17" s="31">
        <v>27.699252999999999</v>
      </c>
      <c r="D17" s="31">
        <v>112095</v>
      </c>
      <c r="E17" s="31">
        <f>C17*4046.86</f>
        <v>112094.99899558</v>
      </c>
      <c r="F17" s="31">
        <v>154.59565499999999</v>
      </c>
      <c r="G17" s="31">
        <f>(F17/1000)*D17</f>
        <v>17329.399947225</v>
      </c>
      <c r="H17" s="8">
        <f>G17/1233.48</f>
        <v>14.049194107099426</v>
      </c>
      <c r="I17" s="11" t="s">
        <v>37</v>
      </c>
      <c r="J17" s="8">
        <f>F17-F18</f>
        <v>35.080849999999998</v>
      </c>
      <c r="K17" s="31">
        <f>(J17/1000)*D17</f>
        <v>3932.3878807499996</v>
      </c>
      <c r="L17" s="31">
        <f>K17/1233.48</f>
        <v>3.1880434873285335</v>
      </c>
      <c r="M17" s="32">
        <f>(J17/1000)*(100*4046.86)/1233.48</f>
        <v>11.50949254394072</v>
      </c>
      <c r="O17" s="6"/>
    </row>
    <row r="18" spans="1:15" x14ac:dyDescent="0.25">
      <c r="A18" t="s">
        <v>6</v>
      </c>
      <c r="B18" t="s">
        <v>30</v>
      </c>
      <c r="C18" s="31">
        <v>16.039596</v>
      </c>
      <c r="D18" s="31">
        <v>64910</v>
      </c>
      <c r="E18" s="31">
        <f t="shared" ref="E18:E20" si="5">C18*4046.86</f>
        <v>64909.999468560003</v>
      </c>
      <c r="F18" s="31">
        <v>119.514805</v>
      </c>
      <c r="G18" s="31">
        <f>(F18/1000)*D18</f>
        <v>7757.7059925499998</v>
      </c>
      <c r="H18" s="8">
        <f>G18/1233.48</f>
        <v>6.2892839710007458</v>
      </c>
      <c r="J18" s="8"/>
      <c r="K18" s="31"/>
      <c r="L18" s="31"/>
      <c r="M18" s="32"/>
      <c r="O18" s="6"/>
    </row>
    <row r="19" spans="1:15" x14ac:dyDescent="0.25">
      <c r="A19" t="s">
        <v>2</v>
      </c>
      <c r="B19" t="s">
        <v>29</v>
      </c>
      <c r="C19" s="31">
        <v>24.099672000000002</v>
      </c>
      <c r="D19" s="31">
        <v>97528</v>
      </c>
      <c r="E19" s="31">
        <f t="shared" si="5"/>
        <v>97527.99862992001</v>
      </c>
      <c r="F19" s="31">
        <v>119.49566299999999</v>
      </c>
      <c r="G19" s="31">
        <f>(F19/1000)*D19</f>
        <v>11654.173021063998</v>
      </c>
      <c r="H19" s="8">
        <f>G19/1233.48</f>
        <v>9.4482059061062991</v>
      </c>
      <c r="J19" s="8">
        <f>F19-F20</f>
        <v>16.871458999999987</v>
      </c>
      <c r="K19" s="31">
        <f>(J19/1000)*D19</f>
        <v>1645.4396533519989</v>
      </c>
      <c r="L19" s="31">
        <f>K19/1233.48</f>
        <v>1.333981623822031</v>
      </c>
      <c r="M19" s="22">
        <f>(J19/1000)*(100*4046.86)/1233.48</f>
        <v>5.5352687168612338</v>
      </c>
      <c r="O19" s="6"/>
    </row>
    <row r="20" spans="1:15" x14ac:dyDescent="0.25">
      <c r="A20" t="s">
        <v>2</v>
      </c>
      <c r="B20" t="s">
        <v>30</v>
      </c>
      <c r="C20" s="31">
        <v>24.35765</v>
      </c>
      <c r="D20" s="31">
        <v>98572</v>
      </c>
      <c r="E20" s="31">
        <f t="shared" si="5"/>
        <v>98571.999479000006</v>
      </c>
      <c r="F20" s="31">
        <v>102.62420400000001</v>
      </c>
      <c r="G20" s="31">
        <f>(F20/1000)*D20</f>
        <v>10115.873036688001</v>
      </c>
      <c r="H20" s="9">
        <f>G20/1233.48</f>
        <v>8.201083954898337</v>
      </c>
      <c r="J20" s="7"/>
      <c r="M20" s="23"/>
      <c r="O20" s="7"/>
    </row>
    <row r="21" spans="1:15" x14ac:dyDescent="0.25">
      <c r="C21" s="25" t="s">
        <v>31</v>
      </c>
      <c r="D21" s="25" t="s">
        <v>31</v>
      </c>
      <c r="F21" s="25" t="s">
        <v>31</v>
      </c>
      <c r="J21" s="25" t="s">
        <v>35</v>
      </c>
    </row>
    <row r="23" spans="1:15" x14ac:dyDescent="0.25">
      <c r="A23" s="2" t="s">
        <v>26</v>
      </c>
    </row>
    <row r="24" spans="1:15" x14ac:dyDescent="0.25">
      <c r="A24" s="12" t="s">
        <v>6</v>
      </c>
      <c r="B24" s="13"/>
      <c r="C24" s="14">
        <f t="shared" ref="C24:H24" si="6">SUM(C17:C18)</f>
        <v>43.738849000000002</v>
      </c>
      <c r="D24" s="26">
        <f t="shared" si="6"/>
        <v>177005</v>
      </c>
      <c r="E24" s="27">
        <f t="shared" si="6"/>
        <v>177004.99846413999</v>
      </c>
      <c r="F24" s="26">
        <f t="shared" si="6"/>
        <v>274.11045999999999</v>
      </c>
      <c r="G24" s="14">
        <f t="shared" si="6"/>
        <v>25087.105939775</v>
      </c>
      <c r="H24" s="27">
        <f t="shared" si="6"/>
        <v>20.338478078100174</v>
      </c>
    </row>
    <row r="25" spans="1:15" x14ac:dyDescent="0.25">
      <c r="A25" s="15" t="s">
        <v>2</v>
      </c>
      <c r="C25" s="16">
        <f t="shared" ref="C25:H25" si="7">SUM(C19:C20)</f>
        <v>48.457322000000005</v>
      </c>
      <c r="D25" s="1">
        <f t="shared" si="7"/>
        <v>196100</v>
      </c>
      <c r="E25" s="16">
        <f t="shared" si="7"/>
        <v>196099.99810892</v>
      </c>
      <c r="F25" s="1">
        <f t="shared" si="7"/>
        <v>222.119867</v>
      </c>
      <c r="G25" s="16">
        <f t="shared" si="7"/>
        <v>21770.046057751999</v>
      </c>
      <c r="H25" s="28">
        <f t="shared" si="7"/>
        <v>17.649289861004636</v>
      </c>
    </row>
    <row r="26" spans="1:15" x14ac:dyDescent="0.25">
      <c r="A26" s="17" t="s">
        <v>36</v>
      </c>
      <c r="B26" s="18"/>
      <c r="C26" s="19">
        <f>SUM(C17:C20)</f>
        <v>92.196170999999993</v>
      </c>
      <c r="D26" s="29">
        <f>SUM(D24:D25)</f>
        <v>373105</v>
      </c>
      <c r="E26" s="19">
        <f>SUM(E17:E20)</f>
        <v>373104.99657305999</v>
      </c>
      <c r="F26" s="29">
        <f t="shared" ref="F26" si="8">SUM(F24:F25)</f>
        <v>496.23032699999999</v>
      </c>
      <c r="G26" s="19">
        <f>SUM(G17:G20)</f>
        <v>46857.151997527006</v>
      </c>
      <c r="H26" s="30">
        <f t="shared" ref="H26" si="9">SUM(H24:H25)</f>
        <v>37.987767939104813</v>
      </c>
    </row>
  </sheetData>
  <mergeCells count="2">
    <mergeCell ref="A2:O2"/>
    <mergeCell ref="A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Susan's OG Sheet</vt:lpstr>
      <vt:lpstr>Cassie Edit -&gt; for DeltaDCE</vt:lpstr>
      <vt:lpstr>Cassie Edit -&gt; for BAF Polygons</vt:lpstr>
      <vt:lpstr>Cassie Edit -&gt; for DDCE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Dickerson-Lange</dc:creator>
  <cp:lastModifiedBy>Cassie Lumbrazo</cp:lastModifiedBy>
  <dcterms:created xsi:type="dcterms:W3CDTF">2025-03-14T18:15:19Z</dcterms:created>
  <dcterms:modified xsi:type="dcterms:W3CDTF">2025-12-05T16:52:04Z</dcterms:modified>
</cp:coreProperties>
</file>